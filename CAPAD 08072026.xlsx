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codeName="ThisWorkbook"/>
  <mc:AlternateContent xmlns:mc="http://schemas.openxmlformats.org/markup-compatibility/2006">
    <mc:Choice Requires="x15">
      <x15ac:absPath xmlns:x15ac="http://schemas.microsoft.com/office/spreadsheetml/2010/11/ac" url="/Users/malanolinsky/Downloads/"/>
    </mc:Choice>
  </mc:AlternateContent>
  <xr:revisionPtr revIDLastSave="0" documentId="13_ncr:1_{5D741DC2-ACAB-5E43-8336-8D68AF002016}" xr6:coauthVersionLast="47" xr6:coauthVersionMax="47" xr10:uidLastSave="{00000000-0000-0000-0000-000000000000}"/>
  <bookViews>
    <workbookView xWindow="41200" yWindow="-4720" windowWidth="27860" windowHeight="18760" xr2:uid="{C78B6904-98A4-41A1-8997-1C2B6C12A1A8}"/>
  </bookViews>
  <sheets>
    <sheet name="Sheet1" sheetId="1" r:id="rId1"/>
    <sheet name="Sheet6" sheetId="8" r:id="rId2"/>
    <sheet name="Sheet3" sheetId="3" r:id="rId3"/>
    <sheet name="Sheet4" sheetId="7" r:id="rId4"/>
    <sheet name="Sheet2" sheetId="6" r:id="rId5"/>
  </sheets>
  <definedNames>
    <definedName name="_xlnm.Print_Area" localSheetId="0">Sheet1!$A$1:$AH$72</definedName>
  </definedNames>
  <calcPr calcId="191029" iterate="1" iterateCount="1000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1" l="1"/>
  <c r="G21" i="1"/>
  <c r="D9" i="1"/>
  <c r="D38" i="1" l="1"/>
  <c r="D18" i="1"/>
  <c r="D14" i="1" l="1"/>
  <c r="D23" i="1" s="1"/>
  <c r="D29" i="1" s="1"/>
  <c r="J15" i="1"/>
  <c r="J8" i="1"/>
  <c r="K7" i="1"/>
  <c r="J7" i="1"/>
  <c r="K15" i="1"/>
  <c r="K10" i="1"/>
  <c r="K8" i="1"/>
  <c r="D39" i="1" l="1"/>
  <c r="D40" i="1" s="1"/>
  <c r="J9" i="1"/>
  <c r="J10" i="1"/>
  <c r="K13" i="1" l="1"/>
  <c r="K9" i="1"/>
  <c r="J13" i="1"/>
  <c r="K14" i="1" l="1"/>
  <c r="J14" i="1"/>
  <c r="L25" i="7"/>
  <c r="J25" i="7"/>
  <c r="F5" i="3"/>
  <c r="F4" i="3"/>
  <c r="F3" i="3"/>
  <c r="B7" i="3"/>
  <c r="B8" i="3" s="1"/>
  <c r="F6" i="3" l="1"/>
  <c r="F9" i="3" s="1"/>
  <c r="M25" i="7"/>
  <c r="J17" i="1"/>
  <c r="J16" i="1"/>
  <c r="K17" i="1" l="1"/>
  <c r="K16" i="1"/>
</calcChain>
</file>

<file path=xl/sharedStrings.xml><?xml version="1.0" encoding="utf-8"?>
<sst xmlns="http://schemas.openxmlformats.org/spreadsheetml/2006/main" count="144" uniqueCount="110">
  <si>
    <t xml:space="preserve"> </t>
  </si>
  <si>
    <t>Daily CAPAD</t>
  </si>
  <si>
    <t xml:space="preserve">Description </t>
  </si>
  <si>
    <t xml:space="preserve">BDA  </t>
  </si>
  <si>
    <t>Comments if applicable</t>
  </si>
  <si>
    <t xml:space="preserve">Shareholders Funds </t>
  </si>
  <si>
    <t>Shareholders Funds</t>
  </si>
  <si>
    <t>Unaudited P/L</t>
  </si>
  <si>
    <t>Retained Income</t>
  </si>
  <si>
    <t xml:space="preserve">Subordinated Loans </t>
  </si>
  <si>
    <t>Treasury Share Reserve</t>
  </si>
  <si>
    <t>Bank Guarantee</t>
  </si>
  <si>
    <t>Less: Dividends Paid</t>
  </si>
  <si>
    <t>Total Capital Resources</t>
  </si>
  <si>
    <t>Unaudited Profit or Loss</t>
  </si>
  <si>
    <t>Adjusted Liquid Capital</t>
  </si>
  <si>
    <t xml:space="preserve">Income </t>
  </si>
  <si>
    <t>Total Risk Requirement</t>
  </si>
  <si>
    <t xml:space="preserve">Expense </t>
  </si>
  <si>
    <t>Surplus/Deficit</t>
  </si>
  <si>
    <t xml:space="preserve">Trading Limit </t>
  </si>
  <si>
    <t>Subordinated Loans</t>
  </si>
  <si>
    <t>Impaired Capital</t>
  </si>
  <si>
    <t xml:space="preserve">Intangible Assets </t>
  </si>
  <si>
    <t>17635/17302/17115</t>
  </si>
  <si>
    <t>Illiquid Assets</t>
  </si>
  <si>
    <t>Margins</t>
  </si>
  <si>
    <t>Fixed Assets</t>
  </si>
  <si>
    <t>17428/17535/17420/17459/17427</t>
  </si>
  <si>
    <t>Unrealised Profit or Loss</t>
  </si>
  <si>
    <t>Base Requirement</t>
  </si>
  <si>
    <t xml:space="preserve">LER: Large Exposure Risk </t>
  </si>
  <si>
    <t>Position Risk Listed Equities</t>
  </si>
  <si>
    <t xml:space="preserve">PR on Stock/alloc a/cs </t>
  </si>
  <si>
    <t>Counterparty Risk Controlled Clients</t>
  </si>
  <si>
    <t>Counterparty Risk Non-controlled Clients</t>
  </si>
  <si>
    <t>Counterparty Risk Unsecured Loans</t>
  </si>
  <si>
    <t xml:space="preserve">Loans </t>
  </si>
  <si>
    <t>17608/17484/17710</t>
  </si>
  <si>
    <t xml:space="preserve">Counterparty Risk 30 Day Alllocation </t>
  </si>
  <si>
    <t xml:space="preserve">UK Comm Creditor </t>
  </si>
  <si>
    <t>Trading Limit</t>
  </si>
  <si>
    <t xml:space="preserve">USD Loans </t>
  </si>
  <si>
    <t>Spot Rand vs dollar (26/10/2018)</t>
  </si>
  <si>
    <t>$400k Avior UK 04.04.2017</t>
  </si>
  <si>
    <t>$400k Avior UK 08.05.2017</t>
  </si>
  <si>
    <t>$195k Avior UK 15.06.2017</t>
  </si>
  <si>
    <t>$700k Avior UK 10.01.2018</t>
  </si>
  <si>
    <t xml:space="preserve">(Exposure)  </t>
  </si>
  <si>
    <t>FER (@10%)</t>
  </si>
  <si>
    <t>EUZ</t>
  </si>
  <si>
    <t>NSTRUMENT</t>
  </si>
  <si>
    <t>EQUITIES QUANTITY</t>
  </si>
  <si>
    <t>EDM EEQ</t>
  </si>
  <si>
    <t>ETF EEQ</t>
  </si>
  <si>
    <t>TOTAL QUANTITY</t>
  </si>
  <si>
    <t>PRICE (R)</t>
  </si>
  <si>
    <t>MARKET VALUE (R)</t>
  </si>
  <si>
    <t>GENERAL RISK %</t>
  </si>
  <si>
    <t>GENERAL RISK (R)</t>
  </si>
  <si>
    <t>SPECIFIC RISK %</t>
  </si>
  <si>
    <t>SPECIFIC RISK (R)</t>
  </si>
  <si>
    <t>INL, INP</t>
  </si>
  <si>
    <t>CFRO</t>
  </si>
  <si>
    <t>100,000</t>
  </si>
  <si>
    <t>DRA</t>
  </si>
  <si>
    <t>12,745</t>
  </si>
  <si>
    <t>FFB</t>
  </si>
  <si>
    <t>102,454</t>
  </si>
  <si>
    <t>GML</t>
  </si>
  <si>
    <t>125,000</t>
  </si>
  <si>
    <t>HCI</t>
  </si>
  <si>
    <t>47,646</t>
  </si>
  <si>
    <t>HYP</t>
  </si>
  <si>
    <t>8,395</t>
  </si>
  <si>
    <t>IAP</t>
  </si>
  <si>
    <t>-130,634</t>
  </si>
  <si>
    <t>JBL</t>
  </si>
  <si>
    <t>-1,090,334</t>
  </si>
  <si>
    <t>KP2</t>
  </si>
  <si>
    <t>1,161,006</t>
  </si>
  <si>
    <t>KRO</t>
  </si>
  <si>
    <t>MTA</t>
  </si>
  <si>
    <t>PPC</t>
  </si>
  <si>
    <t>36,580</t>
  </si>
  <si>
    <t>REN</t>
  </si>
  <si>
    <t>-117,500</t>
  </si>
  <si>
    <t>RES</t>
  </si>
  <si>
    <t>1,806</t>
  </si>
  <si>
    <t>RMI</t>
  </si>
  <si>
    <t>1,050,000</t>
  </si>
  <si>
    <t>SAC</t>
  </si>
  <si>
    <t>398,369</t>
  </si>
  <si>
    <t>SAR</t>
  </si>
  <si>
    <t>189,998</t>
  </si>
  <si>
    <t>SSW</t>
  </si>
  <si>
    <t>1,199,266</t>
  </si>
  <si>
    <t>TFG</t>
  </si>
  <si>
    <t>491,020</t>
  </si>
  <si>
    <t>THA</t>
  </si>
  <si>
    <t>91,000</t>
  </si>
  <si>
    <t>If negative deduct</t>
  </si>
  <si>
    <t>Arb pnl adjust - 18468</t>
  </si>
  <si>
    <t>Lezmin</t>
  </si>
  <si>
    <t>Stately Horse</t>
  </si>
  <si>
    <t>Avior UK</t>
  </si>
  <si>
    <t>FEBR</t>
  </si>
  <si>
    <t xml:space="preserve">`    </t>
  </si>
  <si>
    <t>At Close of Business Tuesday 07.07.2026</t>
  </si>
  <si>
    <t>At Close of Business Wednesday 08.07.2026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</si>
</sst>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&quot;R&quot;#,##0.00;[Red]&quot;R&quot;#,##0.00"/>
    <numFmt numFmtId="167" formatCode="#,##0.00_ ;[Red]\-#,##0.00\ "/>
    <numFmt numFmtId="168" formatCode="#,##0;[Red]#,##0"/>
    <numFmt numFmtId="169" formatCode="_(* #,##0_);_(* \(#,##0\);_(* &quot;-&quot;??_);_(@_)"/>
    <numFmt numFmtId="170" formatCode="0.00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9"/>
      <color rgb="FF4472C4"/>
      <name val="Calibri"/>
      <family val="2"/>
    </font>
    <font>
      <sz val="14"/>
      <color theme="1"/>
      <name val="Arial"/>
      <family val="2"/>
    </font>
    <font>
      <sz val="8"/>
      <name val="Calibri"/>
      <family val="2"/>
      <scheme val="minor"/>
    </font>
    <font>
      <sz val="9"/>
      <color theme="1"/>
      <name val="News Gothic MT"/>
      <family val="2"/>
    </font>
    <font>
      <b/>
      <sz val="9"/>
      <color theme="1"/>
      <name val="News Gothic MT"/>
      <family val="2"/>
    </font>
    <font>
      <sz val="9"/>
      <color theme="8"/>
      <name val="News Gothic MT"/>
      <family val="2"/>
    </font>
    <font>
      <sz val="9"/>
      <color theme="5"/>
      <name val="News Gothic MT"/>
      <family val="2"/>
    </font>
    <font>
      <sz val="9"/>
      <color rgb="FF000000"/>
      <name val="News Gothic MT"/>
      <family val="2"/>
    </font>
    <font>
      <sz val="9"/>
      <color rgb="FFFF0000"/>
      <name val="News Gothic MT"/>
      <family val="2"/>
    </font>
    <font>
      <sz val="9"/>
      <name val="News Gothic MT"/>
      <family val="2"/>
    </font>
    <font>
      <sz val="9"/>
      <color theme="0"/>
      <name val="News Gothic MT"/>
      <family val="2"/>
    </font>
    <font>
      <b/>
      <sz val="9"/>
      <color rgb="FF000000"/>
      <name val="News Gothic MT"/>
      <family val="2"/>
    </font>
    <font>
      <b/>
      <sz val="9"/>
      <name val="News Gothic MT"/>
      <family val="2"/>
    </font>
    <font>
      <b/>
      <sz val="9"/>
      <color rgb="FFFF0000"/>
      <name val="News Gothic MT"/>
      <family val="2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</fills>
  <borders count="15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1">
    <xf numFmtId="0" fontId="0" fillId="0" borderId="0" xfId="0"/>
    <xf numFmtId="165" fontId="2" fillId="0" borderId="1" xfId="1" applyNumberFormat="1" applyFont="1" applyBorder="1" applyAlignment="1">
      <alignment vertical="center"/>
    </xf>
    <xf numFmtId="0" fontId="0" fillId="0" borderId="2" xfId="0" applyBorder="1" applyAlignment="1">
      <alignment horizontal="center"/>
    </xf>
    <xf numFmtId="0" fontId="2" fillId="0" borderId="2" xfId="0" applyFont="1" applyBorder="1" applyAlignment="1">
      <alignment vertical="center"/>
    </xf>
    <xf numFmtId="0" fontId="0" fillId="0" borderId="2" xfId="0" applyBorder="1"/>
    <xf numFmtId="167" fontId="0" fillId="0" borderId="2" xfId="0" applyNumberFormat="1" applyBorder="1"/>
    <xf numFmtId="166" fontId="0" fillId="2" borderId="2" xfId="0" applyNumberFormat="1" applyFill="1" applyBorder="1"/>
    <xf numFmtId="0" fontId="5" fillId="3" borderId="0" xfId="0" applyFont="1" applyFill="1"/>
    <xf numFmtId="0" fontId="5" fillId="3" borderId="0" xfId="0" applyFont="1" applyFill="1" applyAlignment="1">
      <alignment horizontal="center"/>
    </xf>
    <xf numFmtId="0" fontId="6" fillId="3" borderId="0" xfId="0" applyFont="1" applyFill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0" fontId="5" fillId="3" borderId="0" xfId="0" applyFont="1" applyFill="1" applyAlignment="1">
      <alignment horizontal="center" vertical="center"/>
    </xf>
    <xf numFmtId="0" fontId="6" fillId="3" borderId="0" xfId="0" applyFont="1" applyFill="1"/>
    <xf numFmtId="0" fontId="5" fillId="3" borderId="5" xfId="0" applyFont="1" applyFill="1" applyBorder="1" applyAlignment="1">
      <alignment horizontal="left" vertical="center"/>
    </xf>
    <xf numFmtId="165" fontId="5" fillId="3" borderId="4" xfId="1" applyNumberFormat="1" applyFont="1" applyFill="1" applyBorder="1" applyAlignment="1">
      <alignment horizontal="right" vertical="center"/>
    </xf>
    <xf numFmtId="165" fontId="5" fillId="3" borderId="6" xfId="1" applyNumberFormat="1" applyFont="1" applyFill="1" applyBorder="1" applyAlignment="1">
      <alignment horizontal="right" vertical="center"/>
    </xf>
    <xf numFmtId="0" fontId="5" fillId="4" borderId="5" xfId="0" applyFont="1" applyFill="1" applyBorder="1" applyAlignment="1">
      <alignment horizontal="left" vertical="center"/>
    </xf>
    <xf numFmtId="165" fontId="8" fillId="4" borderId="4" xfId="1" applyNumberFormat="1" applyFont="1" applyFill="1" applyBorder="1" applyAlignment="1">
      <alignment horizontal="right" vertical="center"/>
    </xf>
    <xf numFmtId="165" fontId="8" fillId="4" borderId="6" xfId="1" applyNumberFormat="1" applyFont="1" applyFill="1" applyBorder="1" applyAlignment="1">
      <alignment horizontal="right" vertical="center"/>
    </xf>
    <xf numFmtId="165" fontId="11" fillId="3" borderId="4" xfId="1" applyNumberFormat="1" applyFont="1" applyFill="1" applyBorder="1" applyAlignment="1">
      <alignment horizontal="right" vertical="center"/>
    </xf>
    <xf numFmtId="165" fontId="11" fillId="3" borderId="6" xfId="1" applyNumberFormat="1" applyFont="1" applyFill="1" applyBorder="1" applyAlignment="1">
      <alignment horizontal="right" vertical="center"/>
    </xf>
    <xf numFmtId="0" fontId="12" fillId="5" borderId="5" xfId="0" applyFont="1" applyFill="1" applyBorder="1" applyAlignment="1">
      <alignment horizontal="left" vertical="center"/>
    </xf>
    <xf numFmtId="165" fontId="12" fillId="5" borderId="4" xfId="1" applyNumberFormat="1" applyFont="1" applyFill="1" applyBorder="1" applyAlignment="1">
      <alignment horizontal="right" vertical="center"/>
    </xf>
    <xf numFmtId="165" fontId="12" fillId="5" borderId="6" xfId="1" applyNumberFormat="1" applyFont="1" applyFill="1" applyBorder="1" applyAlignment="1">
      <alignment horizontal="right" vertical="center"/>
    </xf>
    <xf numFmtId="165" fontId="5" fillId="3" borderId="0" xfId="0" applyNumberFormat="1" applyFont="1" applyFill="1"/>
    <xf numFmtId="0" fontId="5" fillId="6" borderId="5" xfId="0" applyFont="1" applyFill="1" applyBorder="1" applyAlignment="1">
      <alignment horizontal="left" vertical="center"/>
    </xf>
    <xf numFmtId="165" fontId="11" fillId="6" borderId="4" xfId="1" applyNumberFormat="1" applyFont="1" applyFill="1" applyBorder="1" applyAlignment="1">
      <alignment horizontal="right" vertical="center"/>
    </xf>
    <xf numFmtId="165" fontId="11" fillId="6" borderId="6" xfId="1" applyNumberFormat="1" applyFont="1" applyFill="1" applyBorder="1" applyAlignment="1">
      <alignment horizontal="right" vertical="center"/>
    </xf>
    <xf numFmtId="0" fontId="11" fillId="7" borderId="7" xfId="0" applyFont="1" applyFill="1" applyBorder="1" applyAlignment="1">
      <alignment horizontal="left" vertical="center"/>
    </xf>
    <xf numFmtId="165" fontId="11" fillId="7" borderId="8" xfId="1" applyNumberFormat="1" applyFont="1" applyFill="1" applyBorder="1" applyAlignment="1">
      <alignment horizontal="right" vertical="center"/>
    </xf>
    <xf numFmtId="165" fontId="11" fillId="7" borderId="9" xfId="1" applyNumberFormat="1" applyFont="1" applyFill="1" applyBorder="1" applyAlignment="1">
      <alignment horizontal="right" vertical="center"/>
    </xf>
    <xf numFmtId="164" fontId="5" fillId="3" borderId="0" xfId="1" applyFont="1" applyFill="1"/>
    <xf numFmtId="3" fontId="5" fillId="3" borderId="0" xfId="0" applyNumberFormat="1" applyFont="1" applyFill="1"/>
    <xf numFmtId="165" fontId="5" fillId="3" borderId="0" xfId="3" applyNumberFormat="1" applyFont="1" applyFill="1" applyBorder="1"/>
    <xf numFmtId="165" fontId="5" fillId="3" borderId="0" xfId="0" applyNumberFormat="1" applyFont="1" applyFill="1" applyAlignment="1">
      <alignment horizontal="left" vertical="center" wrapText="1"/>
    </xf>
    <xf numFmtId="165" fontId="6" fillId="3" borderId="0" xfId="3" applyNumberFormat="1" applyFont="1" applyFill="1" applyBorder="1"/>
    <xf numFmtId="168" fontId="11" fillId="3" borderId="0" xfId="0" applyNumberFormat="1" applyFont="1" applyFill="1" applyAlignment="1">
      <alignment horizontal="right" vertical="center"/>
    </xf>
    <xf numFmtId="0" fontId="10" fillId="3" borderId="0" xfId="0" applyFont="1" applyFill="1"/>
    <xf numFmtId="0" fontId="8" fillId="3" borderId="4" xfId="0" applyFont="1" applyFill="1" applyBorder="1" applyAlignment="1">
      <alignment vertical="center"/>
    </xf>
    <xf numFmtId="0" fontId="6" fillId="3" borderId="0" xfId="0" applyFont="1" applyFill="1" applyAlignment="1">
      <alignment horizontal="center"/>
    </xf>
    <xf numFmtId="164" fontId="5" fillId="3" borderId="0" xfId="0" applyNumberFormat="1" applyFont="1" applyFill="1"/>
    <xf numFmtId="0" fontId="7" fillId="3" borderId="3" xfId="0" applyFont="1" applyFill="1" applyBorder="1" applyAlignment="1">
      <alignment vertical="center"/>
    </xf>
    <xf numFmtId="0" fontId="11" fillId="3" borderId="4" xfId="0" applyFont="1" applyFill="1" applyBorder="1" applyAlignment="1">
      <alignment vertical="center"/>
    </xf>
    <xf numFmtId="164" fontId="5" fillId="3" borderId="0" xfId="1" applyFont="1" applyFill="1" applyBorder="1"/>
    <xf numFmtId="0" fontId="6" fillId="3" borderId="0" xfId="0" applyFont="1" applyFill="1" applyAlignment="1">
      <alignment horizontal="center" vertical="center" wrapText="1"/>
    </xf>
    <xf numFmtId="165" fontId="5" fillId="3" borderId="0" xfId="1" applyNumberFormat="1" applyFont="1" applyFill="1" applyBorder="1"/>
    <xf numFmtId="164" fontId="6" fillId="3" borderId="0" xfId="1" applyFont="1" applyFill="1" applyBorder="1"/>
    <xf numFmtId="164" fontId="6" fillId="3" borderId="0" xfId="1" applyFont="1" applyFill="1" applyBorder="1" applyAlignment="1">
      <alignment horizontal="center" vertical="center" wrapText="1"/>
    </xf>
    <xf numFmtId="164" fontId="6" fillId="3" borderId="0" xfId="0" applyNumberFormat="1" applyFont="1" applyFill="1"/>
    <xf numFmtId="164" fontId="0" fillId="0" borderId="0" xfId="1" applyFont="1"/>
    <xf numFmtId="164" fontId="0" fillId="0" borderId="0" xfId="0" applyNumberFormat="1"/>
    <xf numFmtId="169" fontId="11" fillId="3" borderId="4" xfId="3" applyNumberFormat="1" applyFont="1" applyFill="1" applyBorder="1" applyAlignment="1">
      <alignment horizontal="center"/>
    </xf>
    <xf numFmtId="0" fontId="13" fillId="3" borderId="4" xfId="0" applyFont="1" applyFill="1" applyBorder="1" applyAlignment="1">
      <alignment vertical="center"/>
    </xf>
    <xf numFmtId="169" fontId="14" fillId="3" borderId="4" xfId="3" applyNumberFormat="1" applyFont="1" applyFill="1" applyBorder="1" applyAlignment="1">
      <alignment horizontal="center"/>
    </xf>
    <xf numFmtId="170" fontId="5" fillId="3" borderId="0" xfId="5" applyNumberFormat="1" applyFont="1" applyFill="1"/>
    <xf numFmtId="165" fontId="8" fillId="3" borderId="4" xfId="1" applyNumberFormat="1" applyFont="1" applyFill="1" applyBorder="1" applyAlignment="1">
      <alignment vertical="center"/>
    </xf>
    <xf numFmtId="165" fontId="12" fillId="5" borderId="4" xfId="1" applyNumberFormat="1" applyFont="1" applyFill="1" applyBorder="1" applyAlignment="1">
      <alignment vertical="center"/>
    </xf>
    <xf numFmtId="165" fontId="11" fillId="3" borderId="4" xfId="1" applyNumberFormat="1" applyFont="1" applyFill="1" applyBorder="1" applyAlignment="1">
      <alignment vertical="center"/>
    </xf>
    <xf numFmtId="165" fontId="9" fillId="3" borderId="10" xfId="1" applyNumberFormat="1" applyFont="1" applyFill="1" applyBorder="1" applyAlignment="1">
      <alignment vertical="center"/>
    </xf>
    <xf numFmtId="165" fontId="11" fillId="4" borderId="4" xfId="1" applyNumberFormat="1" applyFont="1" applyFill="1" applyBorder="1" applyAlignment="1">
      <alignment horizontal="right" vertical="center"/>
    </xf>
    <xf numFmtId="165" fontId="14" fillId="4" borderId="4" xfId="1" applyNumberFormat="1" applyFont="1" applyFill="1" applyBorder="1" applyAlignment="1">
      <alignment horizontal="right" vertical="center"/>
    </xf>
    <xf numFmtId="0" fontId="6" fillId="3" borderId="3" xfId="0" applyFont="1" applyFill="1" applyBorder="1" applyAlignment="1">
      <alignment vertical="center"/>
    </xf>
    <xf numFmtId="0" fontId="6" fillId="3" borderId="3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left" vertical="center"/>
    </xf>
    <xf numFmtId="0" fontId="12" fillId="5" borderId="4" xfId="0" applyFont="1" applyFill="1" applyBorder="1"/>
    <xf numFmtId="0" fontId="12" fillId="5" borderId="4" xfId="0" applyFont="1" applyFill="1" applyBorder="1" applyAlignment="1">
      <alignment vertical="center"/>
    </xf>
    <xf numFmtId="0" fontId="9" fillId="3" borderId="10" xfId="0" applyFont="1" applyFill="1" applyBorder="1" applyAlignment="1">
      <alignment vertical="center"/>
    </xf>
    <xf numFmtId="0" fontId="10" fillId="3" borderId="4" xfId="0" applyFont="1" applyFill="1" applyBorder="1" applyAlignment="1">
      <alignment vertical="center" wrapText="1"/>
    </xf>
    <xf numFmtId="0" fontId="12" fillId="5" borderId="4" xfId="0" applyFont="1" applyFill="1" applyBorder="1" applyAlignment="1">
      <alignment vertical="center" wrapText="1"/>
    </xf>
    <xf numFmtId="165" fontId="10" fillId="3" borderId="10" xfId="0" applyNumberFormat="1" applyFont="1" applyFill="1" applyBorder="1" applyAlignment="1">
      <alignment vertical="center" wrapText="1"/>
    </xf>
    <xf numFmtId="0" fontId="7" fillId="3" borderId="3" xfId="0" applyFont="1" applyFill="1" applyBorder="1" applyAlignment="1">
      <alignment horizontal="left" vertical="center"/>
    </xf>
    <xf numFmtId="169" fontId="14" fillId="3" borderId="4" xfId="3" applyNumberFormat="1" applyFont="1" applyFill="1" applyBorder="1" applyAlignment="1">
      <alignment horizontal="left"/>
    </xf>
    <xf numFmtId="169" fontId="11" fillId="3" borderId="4" xfId="3" applyNumberFormat="1" applyFont="1" applyFill="1" applyBorder="1" applyAlignment="1">
      <alignment horizontal="left"/>
    </xf>
    <xf numFmtId="165" fontId="8" fillId="3" borderId="4" xfId="1" applyNumberFormat="1" applyFont="1" applyFill="1" applyBorder="1" applyAlignment="1">
      <alignment horizontal="left" vertical="center"/>
    </xf>
    <xf numFmtId="165" fontId="12" fillId="5" borderId="4" xfId="1" applyNumberFormat="1" applyFont="1" applyFill="1" applyBorder="1" applyAlignment="1">
      <alignment horizontal="left" vertical="center"/>
    </xf>
    <xf numFmtId="165" fontId="11" fillId="3" borderId="4" xfId="1" applyNumberFormat="1" applyFont="1" applyFill="1" applyBorder="1" applyAlignment="1">
      <alignment horizontal="left" vertical="center"/>
    </xf>
    <xf numFmtId="165" fontId="9" fillId="3" borderId="10" xfId="1" applyNumberFormat="1" applyFont="1" applyFill="1" applyBorder="1" applyAlignment="1">
      <alignment horizontal="left" vertical="center"/>
    </xf>
    <xf numFmtId="0" fontId="14" fillId="3" borderId="2" xfId="0" applyFont="1" applyFill="1" applyBorder="1" applyAlignment="1">
      <alignment horizontal="center" vertical="center"/>
    </xf>
    <xf numFmtId="0" fontId="5" fillId="3" borderId="3" xfId="0" applyFont="1" applyFill="1" applyBorder="1"/>
    <xf numFmtId="169" fontId="11" fillId="4" borderId="4" xfId="1" applyNumberFormat="1" applyFont="1" applyFill="1" applyBorder="1" applyAlignment="1">
      <alignment horizontal="right" vertical="center"/>
    </xf>
    <xf numFmtId="0" fontId="11" fillId="3" borderId="4" xfId="0" applyFont="1" applyFill="1" applyBorder="1" applyAlignment="1">
      <alignment horizontal="left" vertical="center"/>
    </xf>
    <xf numFmtId="169" fontId="11" fillId="3" borderId="4" xfId="1" applyNumberFormat="1" applyFont="1" applyFill="1" applyBorder="1" applyAlignment="1">
      <alignment horizontal="right" vertical="center"/>
    </xf>
    <xf numFmtId="0" fontId="14" fillId="4" borderId="4" xfId="0" applyFont="1" applyFill="1" applyBorder="1" applyAlignment="1">
      <alignment horizontal="left" vertical="center"/>
    </xf>
    <xf numFmtId="0" fontId="14" fillId="3" borderId="4" xfId="0" applyFont="1" applyFill="1" applyBorder="1" applyAlignment="1">
      <alignment vertical="center"/>
    </xf>
    <xf numFmtId="0" fontId="15" fillId="3" borderId="4" xfId="0" applyFont="1" applyFill="1" applyBorder="1" applyAlignment="1">
      <alignment vertical="center" wrapText="1"/>
    </xf>
    <xf numFmtId="169" fontId="11" fillId="3" borderId="4" xfId="0" applyNumberFormat="1" applyFont="1" applyFill="1" applyBorder="1" applyAlignment="1">
      <alignment horizontal="left" vertical="center"/>
    </xf>
    <xf numFmtId="169" fontId="5" fillId="3" borderId="0" xfId="0" applyNumberFormat="1" applyFont="1" applyFill="1"/>
    <xf numFmtId="0" fontId="9" fillId="4" borderId="5" xfId="0" applyFont="1" applyFill="1" applyBorder="1" applyAlignment="1">
      <alignment horizontal="left" vertical="center"/>
    </xf>
    <xf numFmtId="165" fontId="8" fillId="4" borderId="4" xfId="1" applyNumberFormat="1" applyFont="1" applyFill="1" applyBorder="1" applyAlignment="1">
      <alignment vertical="center"/>
    </xf>
    <xf numFmtId="165" fontId="8" fillId="4" borderId="6" xfId="1" applyNumberFormat="1" applyFont="1" applyFill="1" applyBorder="1" applyAlignment="1">
      <alignment vertical="center"/>
    </xf>
    <xf numFmtId="0" fontId="6" fillId="3" borderId="12" xfId="0" applyFont="1" applyFill="1" applyBorder="1" applyAlignment="1">
      <alignment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43" fontId="5" fillId="3" borderId="0" xfId="0" applyNumberFormat="1" applyFont="1" applyFill="1"/>
    <xf numFmtId="9" fontId="0" fillId="0" borderId="0" xfId="0" applyNumberFormat="1"/>
    <xf numFmtId="165" fontId="9" fillId="3" borderId="0" xfId="1" applyNumberFormat="1" applyFont="1" applyFill="1" applyBorder="1" applyAlignment="1">
      <alignment vertical="center"/>
    </xf>
    <xf numFmtId="43" fontId="11" fillId="3" borderId="4" xfId="3" applyNumberFormat="1" applyFont="1" applyFill="1" applyBorder="1" applyAlignment="1">
      <alignment horizontal="center"/>
    </xf>
    <xf numFmtId="0" fontId="11" fillId="3" borderId="4" xfId="3" applyNumberFormat="1" applyFont="1" applyFill="1" applyBorder="1" applyAlignment="1">
      <alignment horizontal="left"/>
    </xf>
    <xf numFmtId="0" fontId="11" fillId="3" borderId="4" xfId="3" applyNumberFormat="1" applyFont="1" applyFill="1" applyBorder="1" applyAlignment="1">
      <alignment horizontal="center"/>
    </xf>
    <xf numFmtId="165" fontId="6" fillId="3" borderId="0" xfId="1" applyNumberFormat="1" applyFont="1" applyFill="1" applyBorder="1"/>
  </cellXfs>
  <cellStyles count="6">
    <cellStyle name="Comma" xfId="1" builtinId="3"/>
    <cellStyle name="Comma 2" xfId="3" xr:uid="{57F7C106-05F3-4F13-A051-72C5CC43D0A3}"/>
    <cellStyle name="Normal" xfId="0" builtinId="0"/>
    <cellStyle name="Normal 2" xfId="2" xr:uid="{66483EE1-6F52-4192-827E-140B224263CA}"/>
    <cellStyle name="Per cent" xfId="5" builtinId="5"/>
    <cellStyle name="Percent 2" xfId="4" xr:uid="{22A0A1DD-AC6E-4ED3-9A92-F7B9EA94DFDC}"/>
  </cellStyles>
  <dxfs count="0"/>
  <tableStyles count="0" defaultTableStyle="TableStyleMedium2" defaultPivotStyle="PivotStyleLight16"/>
  <colors>
    <mruColors>
      <color rgb="FFF2F2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1577017</xdr:colOff>
      <xdr:row>0</xdr:row>
      <xdr:rowOff>0</xdr:rowOff>
    </xdr:from>
    <xdr:to>
      <xdr:col>6</xdr:col>
      <xdr:colOff>1729204</xdr:colOff>
      <xdr:row>3</xdr:row>
      <xdr:rowOff>43572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9EC6C22-3F59-4073-8432-06A64E739C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01632" y="0"/>
          <a:ext cx="2125572" cy="5124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Avi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100642"/>
      </a:accent1>
      <a:accent2>
        <a:srgbClr val="01A0C6"/>
      </a:accent2>
      <a:accent3>
        <a:srgbClr val="302830"/>
      </a:accent3>
      <a:accent4>
        <a:srgbClr val="988E8A"/>
      </a:accent4>
      <a:accent5>
        <a:srgbClr val="79C3A0"/>
      </a:accent5>
      <a:accent6>
        <a:srgbClr val="ED522E"/>
      </a:accent6>
      <a:hlink>
        <a:srgbClr val="79C3A0"/>
      </a:hlink>
      <a:folHlink>
        <a:srgbClr val="10064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84FD6-092B-4C2D-BDFD-55BCFAD520B0}">
  <sheetPr codeName="Sheet2">
    <pageSetUpPr fitToPage="1"/>
  </sheetPr>
  <dimension ref="B1:U66"/>
  <sheetViews>
    <sheetView tabSelected="1" topLeftCell="A11" zoomScale="130" zoomScaleNormal="130" zoomScaleSheetLayoutView="120" zoomScalePageLayoutView="85" workbookViewId="0">
      <selection activeCell="D43" sqref="D43"/>
    </sheetView>
  </sheetViews>
  <sheetFormatPr baseColWidth="10" defaultColWidth="9.1640625" defaultRowHeight="12" x14ac:dyDescent="0.15"/>
  <cols>
    <col min="1" max="1" width="4.83203125" style="7" customWidth="1"/>
    <col min="2" max="2" width="32.33203125" style="7" customWidth="1"/>
    <col min="3" max="4" width="20.83203125" style="7" customWidth="1"/>
    <col min="5" max="5" width="18.5" style="7" customWidth="1"/>
    <col min="6" max="6" width="25.83203125" style="7" customWidth="1"/>
    <col min="7" max="7" width="45.33203125" style="7" customWidth="1"/>
    <col min="8" max="8" width="14.33203125" style="7" bestFit="1" customWidth="1"/>
    <col min="9" max="9" width="26" style="7" hidden="1" customWidth="1"/>
    <col min="10" max="10" width="27.83203125" style="7" hidden="1" customWidth="1"/>
    <col min="11" max="11" width="27.33203125" style="7" hidden="1" customWidth="1"/>
    <col min="12" max="12" width="1.5" style="7" bestFit="1" customWidth="1"/>
    <col min="13" max="13" width="13.83203125" style="7" customWidth="1"/>
    <col min="14" max="14" width="20.1640625" style="7" customWidth="1"/>
    <col min="15" max="18" width="13.83203125" style="7" customWidth="1"/>
    <col min="19" max="20" width="9.1640625" style="7"/>
    <col min="21" max="21" width="15.5" style="31" bestFit="1" customWidth="1"/>
    <col min="22" max="16384" width="9.1640625" style="7"/>
  </cols>
  <sheetData>
    <row r="1" spans="2:21" x14ac:dyDescent="0.15">
      <c r="B1" s="7" t="s">
        <v>0</v>
      </c>
      <c r="F1" s="7" t="s">
        <v>107</v>
      </c>
    </row>
    <row r="3" spans="2:21" x14ac:dyDescent="0.15">
      <c r="B3" s="9"/>
      <c r="C3" s="10"/>
      <c r="D3" s="10"/>
    </row>
    <row r="5" spans="2:21" x14ac:dyDescent="0.15">
      <c r="U5" s="43"/>
    </row>
    <row r="6" spans="2:21" ht="13" thickBot="1" x14ac:dyDescent="0.2">
      <c r="B6" s="12"/>
      <c r="C6" s="39"/>
      <c r="D6" s="39"/>
      <c r="E6" s="39"/>
      <c r="F6" s="39"/>
      <c r="U6" s="43"/>
    </row>
    <row r="7" spans="2:21" ht="65.25" customHeight="1" thickBot="1" x14ac:dyDescent="0.2">
      <c r="B7" s="61" t="s">
        <v>1</v>
      </c>
      <c r="C7" s="63" t="s">
        <v>108</v>
      </c>
      <c r="D7" s="63" t="s">
        <v>109</v>
      </c>
      <c r="E7" s="62" t="s">
        <v>2</v>
      </c>
      <c r="F7" s="62" t="s">
        <v>3</v>
      </c>
      <c r="G7" s="78" t="s">
        <v>4</v>
      </c>
      <c r="I7" s="91"/>
      <c r="J7" s="92" t="str">
        <f>C7</f>
        <v>At Close of Business Tuesday 07.07.2026</v>
      </c>
      <c r="K7" s="93" t="str">
        <f>D7</f>
        <v>At Close of Business Wednesday 08.07.2026</v>
      </c>
      <c r="M7" s="44"/>
      <c r="N7" s="44"/>
      <c r="P7" s="44"/>
      <c r="Q7" s="44"/>
      <c r="R7" s="44"/>
      <c r="U7" s="43"/>
    </row>
    <row r="8" spans="2:21" x14ac:dyDescent="0.15">
      <c r="B8" s="41"/>
      <c r="C8" s="41"/>
      <c r="D8" s="41"/>
      <c r="E8" s="71"/>
      <c r="F8" s="41"/>
      <c r="G8" s="79"/>
      <c r="I8" s="88" t="s">
        <v>5</v>
      </c>
      <c r="J8" s="89">
        <f>C9</f>
        <v>122077850</v>
      </c>
      <c r="K8" s="90">
        <f>D9</f>
        <v>122077850</v>
      </c>
      <c r="M8" s="45"/>
      <c r="N8" s="45"/>
      <c r="P8" s="45"/>
      <c r="Q8" s="45"/>
      <c r="U8" s="43"/>
    </row>
    <row r="9" spans="2:21" ht="13" x14ac:dyDescent="0.15">
      <c r="B9" s="52" t="s">
        <v>6</v>
      </c>
      <c r="C9" s="53">
        <v>122077850</v>
      </c>
      <c r="D9" s="53">
        <f>SUM(D10:D11)</f>
        <v>122077850</v>
      </c>
      <c r="E9" s="72"/>
      <c r="F9" s="53"/>
      <c r="G9" s="68" t="s">
        <v>0</v>
      </c>
      <c r="H9" s="24"/>
      <c r="I9" s="13" t="s">
        <v>7</v>
      </c>
      <c r="J9" s="14">
        <f>C14</f>
        <v>-27881860</v>
      </c>
      <c r="K9" s="15">
        <f>D14</f>
        <v>-27525445</v>
      </c>
      <c r="M9" s="43"/>
      <c r="N9" s="43"/>
      <c r="P9" s="43"/>
      <c r="Q9" s="43"/>
      <c r="U9" s="43"/>
    </row>
    <row r="10" spans="2:21" x14ac:dyDescent="0.15">
      <c r="B10" s="64" t="s">
        <v>8</v>
      </c>
      <c r="C10" s="59">
        <v>113430096</v>
      </c>
      <c r="D10" s="59">
        <v>113430096</v>
      </c>
      <c r="E10" s="64"/>
      <c r="F10" s="59">
        <v>17203</v>
      </c>
      <c r="G10" s="59"/>
      <c r="H10" s="24"/>
      <c r="I10" s="16" t="s">
        <v>9</v>
      </c>
      <c r="J10" s="17">
        <f>C18</f>
        <v>36795311</v>
      </c>
      <c r="K10" s="18">
        <f>D18</f>
        <v>36795311</v>
      </c>
      <c r="U10" s="43"/>
    </row>
    <row r="11" spans="2:21" x14ac:dyDescent="0.15">
      <c r="B11" s="42" t="s">
        <v>10</v>
      </c>
      <c r="C11" s="51">
        <v>8647754</v>
      </c>
      <c r="D11" s="51">
        <v>8647754</v>
      </c>
      <c r="E11" s="73"/>
      <c r="F11" s="51">
        <v>17201</v>
      </c>
      <c r="G11" s="68"/>
      <c r="I11" s="13" t="s">
        <v>11</v>
      </c>
      <c r="J11" s="19">
        <v>0</v>
      </c>
      <c r="K11" s="20">
        <v>0</v>
      </c>
      <c r="U11" s="43"/>
    </row>
    <row r="12" spans="2:21" x14ac:dyDescent="0.15">
      <c r="B12" s="81" t="s">
        <v>12</v>
      </c>
      <c r="C12" s="82">
        <v>0</v>
      </c>
      <c r="D12" s="82">
        <v>0</v>
      </c>
      <c r="E12" s="81"/>
      <c r="F12" s="19">
        <v>17206</v>
      </c>
      <c r="G12" s="19"/>
      <c r="H12" s="24"/>
      <c r="I12" s="13"/>
      <c r="J12" s="19"/>
      <c r="K12" s="20"/>
      <c r="U12" s="43"/>
    </row>
    <row r="13" spans="2:21" x14ac:dyDescent="0.15">
      <c r="B13" s="42"/>
      <c r="C13" s="51"/>
      <c r="D13" s="51"/>
      <c r="E13" s="73"/>
      <c r="F13" s="51"/>
      <c r="G13" s="68"/>
      <c r="H13" s="24"/>
      <c r="I13" s="21" t="s">
        <v>13</v>
      </c>
      <c r="J13" s="22">
        <f>C23</f>
        <v>130991301</v>
      </c>
      <c r="K13" s="23">
        <f>D23</f>
        <v>131347716</v>
      </c>
      <c r="U13" s="43"/>
    </row>
    <row r="14" spans="2:21" x14ac:dyDescent="0.15">
      <c r="B14" s="83" t="s">
        <v>14</v>
      </c>
      <c r="C14" s="60">
        <v>-27881860</v>
      </c>
      <c r="D14" s="60">
        <f>SUM(+D15-D16)</f>
        <v>-27525445</v>
      </c>
      <c r="E14" s="83"/>
      <c r="F14" s="60"/>
      <c r="G14" s="60"/>
      <c r="I14" s="13" t="s">
        <v>15</v>
      </c>
      <c r="J14" s="19">
        <f>C29</f>
        <v>109371868</v>
      </c>
      <c r="K14" s="20">
        <f>D29</f>
        <v>109978736</v>
      </c>
      <c r="U14" s="43"/>
    </row>
    <row r="15" spans="2:21" x14ac:dyDescent="0.15">
      <c r="B15" s="42" t="s">
        <v>16</v>
      </c>
      <c r="C15" s="51">
        <v>18592483</v>
      </c>
      <c r="D15" s="51">
        <f>9706499+9242399</f>
        <v>18948898</v>
      </c>
      <c r="E15" s="73"/>
      <c r="F15" s="51"/>
      <c r="G15" s="68"/>
      <c r="H15" s="24"/>
      <c r="I15" s="21" t="s">
        <v>17</v>
      </c>
      <c r="J15" s="22">
        <f t="shared" ref="J15:K17" si="0">C38</f>
        <v>38139630</v>
      </c>
      <c r="K15" s="23">
        <f t="shared" si="0"/>
        <v>41842135</v>
      </c>
      <c r="U15" s="43"/>
    </row>
    <row r="16" spans="2:21" x14ac:dyDescent="0.15">
      <c r="B16" s="81" t="s">
        <v>18</v>
      </c>
      <c r="C16" s="82">
        <v>46474343</v>
      </c>
      <c r="D16" s="82">
        <v>46474343</v>
      </c>
      <c r="E16" s="86"/>
      <c r="F16" s="19"/>
      <c r="G16" s="19"/>
      <c r="H16" s="31"/>
      <c r="I16" s="25" t="s">
        <v>19</v>
      </c>
      <c r="J16" s="26">
        <f t="shared" si="0"/>
        <v>71232238</v>
      </c>
      <c r="K16" s="27">
        <f t="shared" si="0"/>
        <v>68136601</v>
      </c>
      <c r="U16" s="43"/>
    </row>
    <row r="17" spans="2:21" ht="25" customHeight="1" thickBot="1" x14ac:dyDescent="0.2">
      <c r="B17" s="64" t="s">
        <v>0</v>
      </c>
      <c r="C17" s="59"/>
      <c r="D17" s="59"/>
      <c r="E17" s="64"/>
      <c r="F17" s="59"/>
      <c r="G17" s="59"/>
      <c r="H17" s="31"/>
      <c r="I17" s="28" t="s">
        <v>20</v>
      </c>
      <c r="J17" s="29">
        <f t="shared" si="0"/>
        <v>3561611900</v>
      </c>
      <c r="K17" s="30">
        <f>D40</f>
        <v>3406830050</v>
      </c>
      <c r="U17" s="43"/>
    </row>
    <row r="18" spans="2:21" x14ac:dyDescent="0.15">
      <c r="B18" s="84" t="s">
        <v>21</v>
      </c>
      <c r="C18" s="53">
        <v>36795311</v>
      </c>
      <c r="D18" s="53">
        <f>SUM(D19:D21)</f>
        <v>36795311</v>
      </c>
      <c r="E18" s="72"/>
      <c r="F18" s="53">
        <v>17105</v>
      </c>
      <c r="G18" s="85"/>
      <c r="H18" s="31"/>
      <c r="J18" s="31"/>
      <c r="K18" s="31"/>
      <c r="L18" s="7" t="s">
        <v>0</v>
      </c>
      <c r="M18" s="7" t="s">
        <v>0</v>
      </c>
      <c r="U18" s="43"/>
    </row>
    <row r="19" spans="2:21" hidden="1" x14ac:dyDescent="0.15">
      <c r="B19" s="81" t="s">
        <v>103</v>
      </c>
      <c r="C19" s="82"/>
      <c r="D19" s="82"/>
      <c r="E19" s="81"/>
      <c r="F19" s="19"/>
      <c r="G19" s="19"/>
      <c r="H19" s="31"/>
      <c r="K19" s="8"/>
      <c r="N19" s="7">
        <v>3</v>
      </c>
      <c r="U19" s="43"/>
    </row>
    <row r="20" spans="2:21" hidden="1" x14ac:dyDescent="0.15">
      <c r="B20" s="64" t="s">
        <v>104</v>
      </c>
      <c r="C20" s="59"/>
      <c r="D20" s="59"/>
      <c r="E20" s="64"/>
      <c r="F20" s="59"/>
      <c r="G20" s="59"/>
      <c r="H20" s="31"/>
      <c r="J20" s="31"/>
      <c r="R20" s="40"/>
      <c r="U20" s="43"/>
    </row>
    <row r="21" spans="2:21" x14ac:dyDescent="0.15">
      <c r="B21" s="81" t="s">
        <v>105</v>
      </c>
      <c r="C21" s="82">
        <v>36795311</v>
      </c>
      <c r="D21" s="82">
        <v>36795311</v>
      </c>
      <c r="E21" s="81"/>
      <c r="F21" s="19"/>
      <c r="G21" s="19">
        <f>C21-D21</f>
        <v>0</v>
      </c>
      <c r="H21" s="31"/>
      <c r="I21" s="12" t="s">
        <v>102</v>
      </c>
      <c r="J21" s="46" t="s">
        <v>101</v>
      </c>
      <c r="U21" s="43"/>
    </row>
    <row r="22" spans="2:21" x14ac:dyDescent="0.15">
      <c r="B22" s="38"/>
      <c r="C22" s="55"/>
      <c r="D22" s="55"/>
      <c r="E22" s="74"/>
      <c r="F22" s="55"/>
      <c r="G22" s="68"/>
      <c r="J22" s="43"/>
      <c r="N22" s="31"/>
      <c r="U22" s="47"/>
    </row>
    <row r="23" spans="2:21" x14ac:dyDescent="0.15">
      <c r="B23" s="65" t="s">
        <v>13</v>
      </c>
      <c r="C23" s="56">
        <v>130991301</v>
      </c>
      <c r="D23" s="56">
        <f>D18+D14+D9+D12</f>
        <v>131347716</v>
      </c>
      <c r="E23" s="75"/>
      <c r="F23" s="56"/>
      <c r="G23" s="69"/>
      <c r="I23" s="24"/>
      <c r="J23" s="24"/>
      <c r="N23" s="31"/>
      <c r="O23" s="54"/>
      <c r="U23" s="43"/>
    </row>
    <row r="24" spans="2:21" x14ac:dyDescent="0.15">
      <c r="B24" s="64" t="s">
        <v>22</v>
      </c>
      <c r="C24" s="80">
        <v>-16495598</v>
      </c>
      <c r="D24" s="80">
        <v>-16495598</v>
      </c>
      <c r="E24" s="64" t="s">
        <v>23</v>
      </c>
      <c r="F24" s="59" t="s">
        <v>24</v>
      </c>
      <c r="G24" s="59"/>
      <c r="I24" s="43"/>
      <c r="U24" s="43"/>
    </row>
    <row r="25" spans="2:21" x14ac:dyDescent="0.15">
      <c r="B25" s="42" t="s">
        <v>25</v>
      </c>
      <c r="C25" s="51">
        <v>-1579219</v>
      </c>
      <c r="D25" s="51">
        <v>-1566934</v>
      </c>
      <c r="E25" s="73"/>
      <c r="F25" s="51"/>
      <c r="G25" s="68"/>
      <c r="H25" s="87"/>
      <c r="J25" s="24"/>
      <c r="U25" s="43"/>
    </row>
    <row r="26" spans="2:21" x14ac:dyDescent="0.15">
      <c r="B26" s="64"/>
      <c r="C26" s="80">
        <v>0</v>
      </c>
      <c r="D26" s="80">
        <v>0</v>
      </c>
      <c r="E26" s="64" t="s">
        <v>26</v>
      </c>
      <c r="F26" s="59"/>
      <c r="G26" s="59"/>
      <c r="I26" s="43"/>
      <c r="U26" s="43"/>
    </row>
    <row r="27" spans="2:21" hidden="1" x14ac:dyDescent="0.15">
      <c r="B27" s="64"/>
      <c r="C27" s="80">
        <v>0</v>
      </c>
      <c r="D27" s="80">
        <v>0</v>
      </c>
      <c r="E27" s="64" t="s">
        <v>27</v>
      </c>
      <c r="F27" s="59" t="s">
        <v>28</v>
      </c>
      <c r="G27" s="59"/>
      <c r="U27" s="43"/>
    </row>
    <row r="28" spans="2:21" x14ac:dyDescent="0.15">
      <c r="B28" s="42" t="s">
        <v>29</v>
      </c>
      <c r="C28" s="97">
        <v>-3544616</v>
      </c>
      <c r="D28" s="97">
        <v>-3306448</v>
      </c>
      <c r="E28" s="98"/>
      <c r="F28" s="99"/>
      <c r="G28" s="68"/>
      <c r="U28" s="43"/>
    </row>
    <row r="29" spans="2:21" x14ac:dyDescent="0.15">
      <c r="B29" s="66" t="s">
        <v>15</v>
      </c>
      <c r="C29" s="56">
        <v>109371868</v>
      </c>
      <c r="D29" s="56">
        <f>SUM(D23:D28)</f>
        <v>109978736</v>
      </c>
      <c r="E29" s="75"/>
      <c r="F29" s="56"/>
      <c r="G29" s="69"/>
      <c r="H29" s="94"/>
      <c r="U29" s="43"/>
    </row>
    <row r="30" spans="2:21" x14ac:dyDescent="0.15">
      <c r="B30" s="64" t="s">
        <v>30</v>
      </c>
      <c r="C30" s="59">
        <v>8913270</v>
      </c>
      <c r="D30" s="59">
        <v>8913270</v>
      </c>
      <c r="E30" s="64"/>
      <c r="F30" s="59"/>
      <c r="G30" s="59" t="s">
        <v>106</v>
      </c>
      <c r="H30" s="94"/>
      <c r="U30" s="43"/>
    </row>
    <row r="31" spans="2:21" ht="16.5" customHeight="1" x14ac:dyDescent="0.15">
      <c r="B31" s="42" t="s">
        <v>31</v>
      </c>
      <c r="C31" s="51">
        <v>0</v>
      </c>
      <c r="D31" s="51">
        <v>0</v>
      </c>
      <c r="E31" s="73"/>
      <c r="F31" s="51"/>
      <c r="G31" s="68"/>
      <c r="H31" s="94"/>
      <c r="I31" s="11"/>
      <c r="J31" s="32"/>
      <c r="U31" s="43"/>
    </row>
    <row r="32" spans="2:21" x14ac:dyDescent="0.15">
      <c r="B32" s="81" t="s">
        <v>32</v>
      </c>
      <c r="C32" s="82">
        <v>3839539</v>
      </c>
      <c r="D32" s="82">
        <v>4280833</v>
      </c>
      <c r="E32" s="81" t="s">
        <v>33</v>
      </c>
      <c r="F32" s="19"/>
      <c r="G32" s="19"/>
      <c r="J32" s="33"/>
      <c r="U32" s="43"/>
    </row>
    <row r="33" spans="2:21" x14ac:dyDescent="0.15">
      <c r="B33" s="64" t="s">
        <v>34</v>
      </c>
      <c r="C33" s="59">
        <v>770</v>
      </c>
      <c r="D33" s="59">
        <v>770</v>
      </c>
      <c r="E33" s="64"/>
      <c r="F33" s="59"/>
      <c r="G33" s="59"/>
      <c r="J33" s="33"/>
      <c r="M33" s="12"/>
      <c r="U33" s="43"/>
    </row>
    <row r="34" spans="2:21" x14ac:dyDescent="0.15">
      <c r="B34" s="42" t="s">
        <v>35</v>
      </c>
      <c r="C34" s="51">
        <v>828488</v>
      </c>
      <c r="D34" s="51">
        <v>3359003</v>
      </c>
      <c r="E34" s="73"/>
      <c r="F34" s="51"/>
      <c r="G34" s="68"/>
      <c r="H34" s="24"/>
      <c r="I34" s="34"/>
      <c r="J34" s="35"/>
      <c r="P34" s="43"/>
      <c r="U34" s="43"/>
    </row>
    <row r="35" spans="2:21" x14ac:dyDescent="0.15">
      <c r="B35" s="81" t="s">
        <v>36</v>
      </c>
      <c r="C35" s="82">
        <v>24557563</v>
      </c>
      <c r="D35" s="82">
        <v>25288259</v>
      </c>
      <c r="E35" s="81" t="s">
        <v>37</v>
      </c>
      <c r="F35" s="19" t="s">
        <v>38</v>
      </c>
      <c r="G35" s="19"/>
      <c r="H35" s="87"/>
      <c r="I35" s="10"/>
      <c r="J35" s="35"/>
      <c r="L35" s="43"/>
      <c r="P35" s="43"/>
      <c r="U35" s="43"/>
    </row>
    <row r="36" spans="2:21" x14ac:dyDescent="0.15">
      <c r="B36" s="64" t="s">
        <v>39</v>
      </c>
      <c r="C36" s="59">
        <v>0</v>
      </c>
      <c r="D36" s="59">
        <v>0</v>
      </c>
      <c r="E36" s="64" t="s">
        <v>40</v>
      </c>
      <c r="F36" s="59">
        <v>17566</v>
      </c>
      <c r="G36" s="59"/>
      <c r="I36" s="10"/>
      <c r="J36" s="36"/>
      <c r="L36" s="43"/>
      <c r="P36" s="43"/>
      <c r="U36" s="43"/>
    </row>
    <row r="37" spans="2:21" x14ac:dyDescent="0.15">
      <c r="B37" s="42"/>
      <c r="C37" s="57"/>
      <c r="D37" s="57"/>
      <c r="E37" s="76"/>
      <c r="F37" s="57"/>
      <c r="G37" s="68"/>
      <c r="I37" s="10"/>
      <c r="J37" s="36"/>
      <c r="L37" s="43"/>
      <c r="P37" s="43"/>
      <c r="U37" s="43"/>
    </row>
    <row r="38" spans="2:21" x14ac:dyDescent="0.15">
      <c r="B38" s="66" t="s">
        <v>17</v>
      </c>
      <c r="C38" s="56">
        <v>38139630</v>
      </c>
      <c r="D38" s="56">
        <f>SUM(D30:D37)</f>
        <v>41842135</v>
      </c>
      <c r="E38" s="75"/>
      <c r="F38" s="56"/>
      <c r="G38" s="69"/>
      <c r="H38" s="37"/>
      <c r="L38" s="43"/>
      <c r="P38" s="43"/>
      <c r="U38" s="43"/>
    </row>
    <row r="39" spans="2:21" x14ac:dyDescent="0.15">
      <c r="B39" s="64" t="s">
        <v>19</v>
      </c>
      <c r="C39" s="59">
        <v>71232238</v>
      </c>
      <c r="D39" s="59">
        <f>+D29-D38</f>
        <v>68136601</v>
      </c>
      <c r="E39" s="64"/>
      <c r="F39" s="59"/>
      <c r="G39" s="59"/>
      <c r="H39" s="24"/>
      <c r="I39" s="24"/>
      <c r="L39" s="43"/>
      <c r="P39" s="43"/>
      <c r="U39" s="43"/>
    </row>
    <row r="40" spans="2:21" x14ac:dyDescent="0.15">
      <c r="B40" s="67" t="s">
        <v>41</v>
      </c>
      <c r="C40" s="58">
        <v>3561611900</v>
      </c>
      <c r="D40" s="58">
        <f>(D39/0.02%)/100</f>
        <v>3406830050</v>
      </c>
      <c r="E40" s="77"/>
      <c r="F40" s="58"/>
      <c r="G40" s="70"/>
      <c r="H40" s="24"/>
      <c r="I40" s="24"/>
      <c r="L40" s="43"/>
      <c r="P40" s="43"/>
      <c r="U40" s="43"/>
    </row>
    <row r="41" spans="2:21" x14ac:dyDescent="0.15">
      <c r="L41" s="43"/>
      <c r="P41" s="43"/>
      <c r="U41" s="43"/>
    </row>
    <row r="42" spans="2:21" x14ac:dyDescent="0.15">
      <c r="C42" s="43"/>
      <c r="D42" s="43"/>
      <c r="E42" s="43"/>
      <c r="F42" s="43"/>
      <c r="L42" s="43"/>
      <c r="N42" s="12"/>
      <c r="O42" s="12"/>
      <c r="P42" s="48"/>
      <c r="U42" s="43"/>
    </row>
    <row r="43" spans="2:21" x14ac:dyDescent="0.15">
      <c r="B43" s="12"/>
      <c r="C43" s="100">
        <v>3245849400</v>
      </c>
      <c r="D43" s="96">
        <v>3406830050</v>
      </c>
      <c r="U43" s="43"/>
    </row>
    <row r="44" spans="2:21" x14ac:dyDescent="0.15">
      <c r="C44" s="40"/>
      <c r="D44" s="40"/>
      <c r="U44" s="43"/>
    </row>
    <row r="45" spans="2:21" x14ac:dyDescent="0.15">
      <c r="C45" s="24"/>
      <c r="D45" s="24"/>
      <c r="U45" s="43"/>
    </row>
    <row r="46" spans="2:21" x14ac:dyDescent="0.15">
      <c r="U46" s="43"/>
    </row>
    <row r="47" spans="2:21" x14ac:dyDescent="0.15">
      <c r="U47" s="43"/>
    </row>
    <row r="48" spans="2:21" x14ac:dyDescent="0.15">
      <c r="U48" s="43"/>
    </row>
    <row r="49" spans="4:21" x14ac:dyDescent="0.15">
      <c r="U49" s="43"/>
    </row>
    <row r="50" spans="4:21" x14ac:dyDescent="0.15">
      <c r="D50" s="87"/>
      <c r="U50" s="43"/>
    </row>
    <row r="51" spans="4:21" x14ac:dyDescent="0.15">
      <c r="U51" s="43"/>
    </row>
    <row r="52" spans="4:21" x14ac:dyDescent="0.15">
      <c r="U52" s="43"/>
    </row>
    <row r="53" spans="4:21" x14ac:dyDescent="0.15">
      <c r="U53" s="43"/>
    </row>
    <row r="54" spans="4:21" x14ac:dyDescent="0.15">
      <c r="U54" s="43"/>
    </row>
    <row r="55" spans="4:21" x14ac:dyDescent="0.15">
      <c r="U55" s="43"/>
    </row>
    <row r="56" spans="4:21" x14ac:dyDescent="0.15">
      <c r="U56" s="43"/>
    </row>
    <row r="57" spans="4:21" x14ac:dyDescent="0.15">
      <c r="U57" s="43"/>
    </row>
    <row r="58" spans="4:21" x14ac:dyDescent="0.15">
      <c r="U58" s="43"/>
    </row>
    <row r="59" spans="4:21" x14ac:dyDescent="0.15">
      <c r="U59" s="43"/>
    </row>
    <row r="60" spans="4:21" x14ac:dyDescent="0.15">
      <c r="U60" s="43"/>
    </row>
    <row r="61" spans="4:21" x14ac:dyDescent="0.15">
      <c r="U61" s="43"/>
    </row>
    <row r="62" spans="4:21" x14ac:dyDescent="0.15">
      <c r="U62" s="43"/>
    </row>
    <row r="63" spans="4:21" x14ac:dyDescent="0.15">
      <c r="U63" s="43"/>
    </row>
    <row r="64" spans="4:21" x14ac:dyDescent="0.15">
      <c r="U64" s="43"/>
    </row>
    <row r="65" spans="21:21" x14ac:dyDescent="0.15">
      <c r="U65" s="43"/>
    </row>
    <row r="66" spans="21:21" x14ac:dyDescent="0.15">
      <c r="U66" s="43"/>
    </row>
  </sheetData>
  <phoneticPr fontId="4" type="noConversion"/>
  <pageMargins left="0.7" right="0.7" top="0.75" bottom="0.75" header="0.3" footer="0.3"/>
  <pageSetup scale="1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DDEB7-C079-0345-B543-E7E876835382}">
  <dimension ref="J15:K15"/>
  <sheetViews>
    <sheetView workbookViewId="0">
      <selection activeCell="F6" sqref="F6:N28"/>
    </sheetView>
  </sheetViews>
  <sheetFormatPr baseColWidth="10" defaultRowHeight="15" x14ac:dyDescent="0.2"/>
  <sheetData>
    <row r="15" spans="10:11" x14ac:dyDescent="0.2">
      <c r="J15" s="95"/>
      <c r="K15" s="9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0319A-2919-4B25-AC76-9122ECE32E5B}">
  <sheetPr codeName="Sheet3"/>
  <dimension ref="A2:F15"/>
  <sheetViews>
    <sheetView workbookViewId="0">
      <selection activeCell="F3" sqref="F3:F5"/>
    </sheetView>
  </sheetViews>
  <sheetFormatPr baseColWidth="10" defaultColWidth="8.83203125" defaultRowHeight="15" x14ac:dyDescent="0.2"/>
  <cols>
    <col min="1" max="1" width="20.5" bestFit="1" customWidth="1"/>
    <col min="2" max="2" width="30" bestFit="1" customWidth="1"/>
    <col min="3" max="3" width="11.5" bestFit="1" customWidth="1"/>
  </cols>
  <sheetData>
    <row r="2" spans="1:6" x14ac:dyDescent="0.2">
      <c r="A2" s="2" t="s">
        <v>42</v>
      </c>
      <c r="B2" s="2" t="s">
        <v>43</v>
      </c>
      <c r="F2" t="s">
        <v>0</v>
      </c>
    </row>
    <row r="3" spans="1:6" x14ac:dyDescent="0.2">
      <c r="A3" s="3" t="s">
        <v>44</v>
      </c>
      <c r="B3" s="4">
        <v>13.72</v>
      </c>
      <c r="F3">
        <f>SUM(400000*13.297)</f>
        <v>5318800</v>
      </c>
    </row>
    <row r="4" spans="1:6" x14ac:dyDescent="0.2">
      <c r="A4" s="3" t="s">
        <v>45</v>
      </c>
      <c r="B4" s="4">
        <v>13.72</v>
      </c>
      <c r="F4">
        <f>SUM(195000*13.297)</f>
        <v>2592915</v>
      </c>
    </row>
    <row r="5" spans="1:6" x14ac:dyDescent="0.2">
      <c r="A5" s="3" t="s">
        <v>46</v>
      </c>
      <c r="B5" s="4">
        <v>13.72</v>
      </c>
      <c r="F5">
        <f>SUM(700000*13.297)</f>
        <v>9307900</v>
      </c>
    </row>
    <row r="6" spans="1:6" x14ac:dyDescent="0.2">
      <c r="A6" s="3" t="s">
        <v>47</v>
      </c>
      <c r="B6" s="4">
        <v>13.72</v>
      </c>
      <c r="F6">
        <f>SUM(F3:F5)</f>
        <v>17219615</v>
      </c>
    </row>
    <row r="7" spans="1:6" ht="16" thickBot="1" x14ac:dyDescent="0.25">
      <c r="A7" s="5">
        <v>1695000</v>
      </c>
      <c r="B7" s="5">
        <f>SUM(A7*B3)</f>
        <v>23255400</v>
      </c>
      <c r="C7" t="s">
        <v>48</v>
      </c>
      <c r="F7" s="1">
        <v>4500251</v>
      </c>
    </row>
    <row r="8" spans="1:6" ht="16" thickBot="1" x14ac:dyDescent="0.25">
      <c r="A8" s="3" t="s">
        <v>49</v>
      </c>
      <c r="B8" s="6">
        <f>SUM(B7*10%)</f>
        <v>2325540</v>
      </c>
      <c r="F8" s="1">
        <v>8500000</v>
      </c>
    </row>
    <row r="9" spans="1:6" x14ac:dyDescent="0.2">
      <c r="F9">
        <f>SUM(F6:F8)</f>
        <v>30219866</v>
      </c>
    </row>
    <row r="10" spans="1:6" x14ac:dyDescent="0.2">
      <c r="A10" s="2" t="s">
        <v>42</v>
      </c>
      <c r="B10" s="2" t="s">
        <v>43</v>
      </c>
    </row>
    <row r="11" spans="1:6" x14ac:dyDescent="0.2">
      <c r="A11" s="3" t="s">
        <v>45</v>
      </c>
      <c r="B11" s="4">
        <v>14.35</v>
      </c>
    </row>
    <row r="12" spans="1:6" x14ac:dyDescent="0.2">
      <c r="A12" s="3" t="s">
        <v>46</v>
      </c>
      <c r="B12" s="4">
        <v>14.35</v>
      </c>
    </row>
    <row r="13" spans="1:6" x14ac:dyDescent="0.2">
      <c r="A13" s="3" t="s">
        <v>47</v>
      </c>
      <c r="B13" s="4">
        <v>14.35</v>
      </c>
    </row>
    <row r="14" spans="1:6" x14ac:dyDescent="0.2">
      <c r="A14" s="5">
        <v>1295</v>
      </c>
      <c r="B14" s="5">
        <v>18583250</v>
      </c>
      <c r="C14" t="s">
        <v>48</v>
      </c>
    </row>
    <row r="15" spans="1:6" x14ac:dyDescent="0.2">
      <c r="A15" s="3" t="s">
        <v>49</v>
      </c>
      <c r="B15" s="6">
        <v>1858325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77F37-863F-4E23-B822-B24E37674F77}">
  <sheetPr codeName="Sheet5"/>
  <dimension ref="A2:M25"/>
  <sheetViews>
    <sheetView workbookViewId="0">
      <selection activeCell="M25" sqref="M25"/>
    </sheetView>
  </sheetViews>
  <sheetFormatPr baseColWidth="10" defaultColWidth="8.83203125" defaultRowHeight="15" x14ac:dyDescent="0.2"/>
  <cols>
    <col min="8" max="8" width="44" customWidth="1"/>
    <col min="10" max="10" width="14" bestFit="1" customWidth="1"/>
    <col min="12" max="12" width="14" bestFit="1" customWidth="1"/>
    <col min="13" max="13" width="12.83203125" bestFit="1" customWidth="1"/>
  </cols>
  <sheetData>
    <row r="2" spans="1:12" x14ac:dyDescent="0.2">
      <c r="A2" t="s">
        <v>51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 t="s">
        <v>57</v>
      </c>
      <c r="H2" t="s">
        <v>58</v>
      </c>
      <c r="I2" t="s">
        <v>59</v>
      </c>
      <c r="J2" t="s">
        <v>60</v>
      </c>
      <c r="K2" t="s">
        <v>61</v>
      </c>
    </row>
    <row r="3" spans="1:12" x14ac:dyDescent="0.2">
      <c r="B3" t="s">
        <v>62</v>
      </c>
      <c r="C3">
        <v>0</v>
      </c>
      <c r="D3">
        <v>0</v>
      </c>
      <c r="E3">
        <v>0</v>
      </c>
      <c r="F3">
        <v>0</v>
      </c>
      <c r="H3">
        <v>-53301</v>
      </c>
      <c r="I3">
        <v>8</v>
      </c>
      <c r="J3" s="49">
        <v>-4264</v>
      </c>
      <c r="K3">
        <v>5</v>
      </c>
      <c r="L3" s="49">
        <v>2665</v>
      </c>
    </row>
    <row r="4" spans="1:12" x14ac:dyDescent="0.2">
      <c r="B4" t="s">
        <v>63</v>
      </c>
      <c r="C4" t="s">
        <v>64</v>
      </c>
      <c r="D4">
        <v>0</v>
      </c>
      <c r="E4">
        <v>0</v>
      </c>
      <c r="F4" t="s">
        <v>64</v>
      </c>
      <c r="G4">
        <v>0.81</v>
      </c>
      <c r="H4">
        <v>81000</v>
      </c>
      <c r="I4">
        <v>8</v>
      </c>
      <c r="J4" s="49">
        <v>6480</v>
      </c>
      <c r="K4">
        <v>10</v>
      </c>
      <c r="L4" s="49">
        <v>8100</v>
      </c>
    </row>
    <row r="5" spans="1:12" x14ac:dyDescent="0.2">
      <c r="B5" t="s">
        <v>65</v>
      </c>
      <c r="C5" t="s">
        <v>66</v>
      </c>
      <c r="D5">
        <v>0</v>
      </c>
      <c r="E5">
        <v>0</v>
      </c>
      <c r="F5" t="s">
        <v>66</v>
      </c>
      <c r="G5">
        <v>35</v>
      </c>
      <c r="H5">
        <v>446075</v>
      </c>
      <c r="I5">
        <v>8</v>
      </c>
      <c r="J5" s="49">
        <v>35686</v>
      </c>
      <c r="K5">
        <v>15</v>
      </c>
      <c r="L5" s="49">
        <v>66911</v>
      </c>
    </row>
    <row r="6" spans="1:12" x14ac:dyDescent="0.2">
      <c r="B6" t="s">
        <v>67</v>
      </c>
      <c r="C6" t="s">
        <v>68</v>
      </c>
      <c r="D6">
        <v>0</v>
      </c>
      <c r="E6">
        <v>0</v>
      </c>
      <c r="F6" t="s">
        <v>68</v>
      </c>
      <c r="G6">
        <v>2.2799999999999998</v>
      </c>
      <c r="H6">
        <v>233595</v>
      </c>
      <c r="I6">
        <v>8</v>
      </c>
      <c r="J6" s="49">
        <v>18688</v>
      </c>
      <c r="K6">
        <v>5</v>
      </c>
      <c r="L6" s="49">
        <v>11680</v>
      </c>
    </row>
    <row r="7" spans="1:12" x14ac:dyDescent="0.2">
      <c r="B7" t="s">
        <v>69</v>
      </c>
      <c r="C7" t="s">
        <v>70</v>
      </c>
      <c r="D7">
        <v>0</v>
      </c>
      <c r="E7">
        <v>0</v>
      </c>
      <c r="F7" t="s">
        <v>70</v>
      </c>
      <c r="G7">
        <v>2.76</v>
      </c>
      <c r="H7">
        <v>345000</v>
      </c>
      <c r="I7">
        <v>8</v>
      </c>
      <c r="J7" s="49">
        <v>27600</v>
      </c>
      <c r="K7">
        <v>15</v>
      </c>
      <c r="L7" s="49">
        <v>51750</v>
      </c>
    </row>
    <row r="8" spans="1:12" x14ac:dyDescent="0.2">
      <c r="B8" t="s">
        <v>71</v>
      </c>
      <c r="C8" t="s">
        <v>72</v>
      </c>
      <c r="D8">
        <v>0</v>
      </c>
      <c r="E8">
        <v>0</v>
      </c>
      <c r="F8" t="s">
        <v>72</v>
      </c>
      <c r="G8">
        <v>75.64</v>
      </c>
      <c r="H8">
        <v>3603943</v>
      </c>
      <c r="I8">
        <v>8</v>
      </c>
      <c r="J8" s="49">
        <v>288315</v>
      </c>
      <c r="K8">
        <v>10</v>
      </c>
      <c r="L8" s="49">
        <v>360394</v>
      </c>
    </row>
    <row r="9" spans="1:12" x14ac:dyDescent="0.2">
      <c r="B9" t="s">
        <v>73</v>
      </c>
      <c r="C9" t="s">
        <v>74</v>
      </c>
      <c r="D9">
        <v>0</v>
      </c>
      <c r="E9">
        <v>0</v>
      </c>
      <c r="F9" t="s">
        <v>74</v>
      </c>
      <c r="G9">
        <v>29.44</v>
      </c>
      <c r="H9">
        <v>247149</v>
      </c>
      <c r="I9">
        <v>8</v>
      </c>
      <c r="J9" s="49">
        <v>19772</v>
      </c>
      <c r="K9">
        <v>5</v>
      </c>
      <c r="L9" s="49">
        <v>12357</v>
      </c>
    </row>
    <row r="10" spans="1:12" x14ac:dyDescent="0.2">
      <c r="B10" t="s">
        <v>75</v>
      </c>
      <c r="C10" t="s">
        <v>76</v>
      </c>
      <c r="D10">
        <v>0</v>
      </c>
      <c r="E10">
        <v>0</v>
      </c>
      <c r="F10" t="s">
        <v>76</v>
      </c>
      <c r="G10">
        <v>17.600000000000001</v>
      </c>
      <c r="H10">
        <v>-2299158</v>
      </c>
      <c r="I10">
        <v>8</v>
      </c>
      <c r="J10" s="49">
        <v>-183933</v>
      </c>
      <c r="K10">
        <v>5</v>
      </c>
      <c r="L10" s="49">
        <v>114958</v>
      </c>
    </row>
    <row r="11" spans="1:12" x14ac:dyDescent="0.2">
      <c r="B11" t="s">
        <v>77</v>
      </c>
      <c r="C11" t="s">
        <v>78</v>
      </c>
      <c r="D11">
        <v>0</v>
      </c>
      <c r="E11">
        <v>0</v>
      </c>
      <c r="F11" t="s">
        <v>78</v>
      </c>
      <c r="G11">
        <v>3.48</v>
      </c>
      <c r="H11">
        <v>-3794362</v>
      </c>
      <c r="I11">
        <v>8</v>
      </c>
      <c r="J11" s="49">
        <v>-303549</v>
      </c>
      <c r="K11">
        <v>10</v>
      </c>
      <c r="L11" s="49">
        <v>379436</v>
      </c>
    </row>
    <row r="12" spans="1:12" x14ac:dyDescent="0.2">
      <c r="B12" t="s">
        <v>79</v>
      </c>
      <c r="C12" t="s">
        <v>80</v>
      </c>
      <c r="D12">
        <v>0</v>
      </c>
      <c r="E12">
        <v>0</v>
      </c>
      <c r="F12" t="s">
        <v>80</v>
      </c>
      <c r="G12">
        <v>0.23</v>
      </c>
      <c r="H12">
        <v>267031</v>
      </c>
      <c r="I12">
        <v>8</v>
      </c>
      <c r="J12" s="49">
        <v>21362</v>
      </c>
      <c r="K12">
        <v>15</v>
      </c>
      <c r="L12" s="49">
        <v>40055</v>
      </c>
    </row>
    <row r="13" spans="1:12" x14ac:dyDescent="0.2">
      <c r="B13" t="s">
        <v>81</v>
      </c>
      <c r="C13">
        <v>-95</v>
      </c>
      <c r="D13">
        <v>0</v>
      </c>
      <c r="E13">
        <v>0</v>
      </c>
      <c r="F13">
        <v>-95</v>
      </c>
      <c r="G13">
        <v>500.01</v>
      </c>
      <c r="H13">
        <v>-47501</v>
      </c>
      <c r="I13">
        <v>8</v>
      </c>
      <c r="J13" s="49">
        <v>-3800</v>
      </c>
      <c r="K13">
        <v>5</v>
      </c>
      <c r="L13" s="49">
        <v>2375</v>
      </c>
    </row>
    <row r="14" spans="1:12" x14ac:dyDescent="0.2">
      <c r="B14" t="s">
        <v>82</v>
      </c>
      <c r="C14">
        <v>0</v>
      </c>
      <c r="D14">
        <v>0</v>
      </c>
      <c r="E14">
        <v>0</v>
      </c>
      <c r="F14">
        <v>0</v>
      </c>
      <c r="G14">
        <v>29.12</v>
      </c>
      <c r="H14">
        <v>0</v>
      </c>
      <c r="I14">
        <v>8</v>
      </c>
      <c r="J14" s="49">
        <v>0</v>
      </c>
      <c r="K14">
        <v>10</v>
      </c>
      <c r="L14" s="49">
        <v>0</v>
      </c>
    </row>
    <row r="15" spans="1:12" x14ac:dyDescent="0.2">
      <c r="B15" t="s">
        <v>83</v>
      </c>
      <c r="C15" t="s">
        <v>84</v>
      </c>
      <c r="D15">
        <v>0</v>
      </c>
      <c r="E15">
        <v>0</v>
      </c>
      <c r="F15" t="s">
        <v>84</v>
      </c>
      <c r="G15">
        <v>5.44</v>
      </c>
      <c r="H15">
        <v>198995</v>
      </c>
      <c r="I15">
        <v>8</v>
      </c>
      <c r="J15" s="49">
        <v>15920</v>
      </c>
      <c r="K15">
        <v>5</v>
      </c>
      <c r="L15" s="49">
        <v>9950</v>
      </c>
    </row>
    <row r="16" spans="1:12" x14ac:dyDescent="0.2">
      <c r="B16" t="s">
        <v>85</v>
      </c>
      <c r="C16" t="s">
        <v>86</v>
      </c>
      <c r="D16">
        <v>0</v>
      </c>
      <c r="E16">
        <v>0</v>
      </c>
      <c r="F16" t="s">
        <v>86</v>
      </c>
      <c r="G16">
        <v>27.96</v>
      </c>
      <c r="H16">
        <v>-3285300</v>
      </c>
      <c r="I16">
        <v>8</v>
      </c>
      <c r="J16" s="49">
        <v>-262824</v>
      </c>
      <c r="K16">
        <v>10</v>
      </c>
      <c r="L16" s="49">
        <v>328530</v>
      </c>
    </row>
    <row r="17" spans="2:13" x14ac:dyDescent="0.2">
      <c r="B17" t="s">
        <v>87</v>
      </c>
      <c r="C17" t="s">
        <v>88</v>
      </c>
      <c r="D17">
        <v>0</v>
      </c>
      <c r="E17">
        <v>0</v>
      </c>
      <c r="F17" t="s">
        <v>88</v>
      </c>
      <c r="G17">
        <v>56.5</v>
      </c>
      <c r="H17">
        <v>102039</v>
      </c>
      <c r="I17">
        <v>8</v>
      </c>
      <c r="J17" s="49">
        <v>8163</v>
      </c>
      <c r="K17">
        <v>5</v>
      </c>
      <c r="L17" s="49">
        <v>5102</v>
      </c>
    </row>
    <row r="18" spans="2:13" x14ac:dyDescent="0.2">
      <c r="B18" t="s">
        <v>89</v>
      </c>
      <c r="C18" t="s">
        <v>90</v>
      </c>
      <c r="D18">
        <v>0</v>
      </c>
      <c r="E18">
        <v>0</v>
      </c>
      <c r="F18" t="s">
        <v>90</v>
      </c>
      <c r="G18">
        <v>40.08</v>
      </c>
      <c r="H18">
        <v>42084000</v>
      </c>
      <c r="I18">
        <v>8</v>
      </c>
      <c r="J18" s="49"/>
      <c r="L18" s="49"/>
    </row>
    <row r="19" spans="2:13" x14ac:dyDescent="0.2">
      <c r="B19" t="s">
        <v>91</v>
      </c>
      <c r="C19" t="s">
        <v>92</v>
      </c>
      <c r="D19">
        <v>0</v>
      </c>
      <c r="E19">
        <v>0</v>
      </c>
      <c r="F19" t="s">
        <v>92</v>
      </c>
      <c r="G19">
        <v>2.08</v>
      </c>
      <c r="H19">
        <v>828608</v>
      </c>
      <c r="I19">
        <v>8</v>
      </c>
      <c r="J19" s="49">
        <v>66289</v>
      </c>
      <c r="K19">
        <v>5</v>
      </c>
      <c r="L19" s="49">
        <v>41430</v>
      </c>
    </row>
    <row r="20" spans="2:13" x14ac:dyDescent="0.2">
      <c r="B20" t="s">
        <v>93</v>
      </c>
      <c r="C20" t="s">
        <v>94</v>
      </c>
      <c r="D20">
        <v>0</v>
      </c>
      <c r="E20">
        <v>0</v>
      </c>
      <c r="F20" t="s">
        <v>94</v>
      </c>
      <c r="G20">
        <v>4.7</v>
      </c>
      <c r="H20">
        <v>892991</v>
      </c>
      <c r="I20">
        <v>8</v>
      </c>
      <c r="J20" s="49">
        <v>71439</v>
      </c>
      <c r="K20">
        <v>15</v>
      </c>
      <c r="L20" s="49">
        <v>133949</v>
      </c>
    </row>
    <row r="21" spans="2:13" x14ac:dyDescent="0.2">
      <c r="B21" t="s">
        <v>95</v>
      </c>
      <c r="C21" t="s">
        <v>96</v>
      </c>
      <c r="D21">
        <v>0</v>
      </c>
      <c r="E21">
        <v>0</v>
      </c>
      <c r="F21" t="s">
        <v>96</v>
      </c>
      <c r="G21">
        <v>52.87</v>
      </c>
      <c r="H21">
        <v>63405193</v>
      </c>
      <c r="I21">
        <v>8</v>
      </c>
      <c r="J21" s="49"/>
      <c r="L21" s="49"/>
    </row>
    <row r="22" spans="2:13" x14ac:dyDescent="0.2">
      <c r="B22" t="s">
        <v>97</v>
      </c>
      <c r="C22" t="s">
        <v>98</v>
      </c>
      <c r="D22">
        <v>0</v>
      </c>
      <c r="E22">
        <v>0</v>
      </c>
      <c r="F22" t="s">
        <v>98</v>
      </c>
      <c r="G22">
        <v>127.74</v>
      </c>
      <c r="H22">
        <v>62722895</v>
      </c>
      <c r="I22">
        <v>8</v>
      </c>
      <c r="J22" s="49"/>
      <c r="L22" s="49"/>
    </row>
    <row r="23" spans="2:13" x14ac:dyDescent="0.2">
      <c r="B23" t="s">
        <v>99</v>
      </c>
      <c r="C23" t="s">
        <v>100</v>
      </c>
      <c r="D23">
        <v>0</v>
      </c>
      <c r="E23">
        <v>0</v>
      </c>
      <c r="F23" t="s">
        <v>100</v>
      </c>
      <c r="G23">
        <v>26.5</v>
      </c>
      <c r="H23">
        <v>2411500</v>
      </c>
      <c r="I23">
        <v>8</v>
      </c>
      <c r="J23" s="49">
        <v>192920</v>
      </c>
      <c r="L23" s="49">
        <v>361725</v>
      </c>
    </row>
    <row r="24" spans="2:13" x14ac:dyDescent="0.2">
      <c r="L24" s="49"/>
    </row>
    <row r="25" spans="2:13" x14ac:dyDescent="0.2">
      <c r="J25" s="50">
        <f>SUM(J3:J23)</f>
        <v>14264</v>
      </c>
      <c r="L25" s="49">
        <f>SUM(L3:L23)</f>
        <v>1931367</v>
      </c>
      <c r="M25" s="50">
        <f>J25+L25</f>
        <v>1945631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EBD44-FD25-4416-99EF-3A963AE37EA0}">
  <sheetPr codeName="Sheet4"/>
  <dimension ref="A3:B3"/>
  <sheetViews>
    <sheetView workbookViewId="0">
      <selection activeCell="B4" sqref="B4"/>
    </sheetView>
  </sheetViews>
  <sheetFormatPr baseColWidth="10" defaultColWidth="8.83203125" defaultRowHeight="15" x14ac:dyDescent="0.2"/>
  <sheetData>
    <row r="3" spans="1:2" x14ac:dyDescent="0.2">
      <c r="A3" t="s">
        <v>50</v>
      </c>
      <c r="B3">
        <v>91176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AF37DC841E2904EA0BABF2803174825" ma:contentTypeVersion="16" ma:contentTypeDescription="Create a new document." ma:contentTypeScope="" ma:versionID="254bd594e98d5ab1df42fe3e5629d856">
  <xsd:schema xmlns:xsd="http://www.w3.org/2001/XMLSchema" xmlns:xs="http://www.w3.org/2001/XMLSchema" xmlns:p="http://schemas.microsoft.com/office/2006/metadata/properties" xmlns:ns2="3a145cca-aa0d-4d3c-8ecb-ab68437e0b91" xmlns:ns3="0052c1a0-a970-453a-8174-8491738088f7" targetNamespace="http://schemas.microsoft.com/office/2006/metadata/properties" ma:root="true" ma:fieldsID="a0fcee46bcede691ac875bd3496b7b18" ns2:_="" ns3:_="">
    <xsd:import namespace="3a145cca-aa0d-4d3c-8ecb-ab68437e0b91"/>
    <xsd:import namespace="0052c1a0-a970-453a-8174-8491738088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145cca-aa0d-4d3c-8ecb-ab68437e0b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9a21a923-3e68-4165-961e-312786610c5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52c1a0-a970-453a-8174-8491738088f7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8b84d748-9a64-460f-8927-587f5d65f42b}" ma:internalName="TaxCatchAll" ma:showField="CatchAllData" ma:web="0052c1a0-a970-453a-8174-8491738088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0052c1a0-a970-453a-8174-8491738088f7">
      <UserInfo>
        <DisplayName/>
        <AccountId xsi:nil="true"/>
        <AccountType/>
      </UserInfo>
    </SharedWithUsers>
    <lcf76f155ced4ddcb4097134ff3c332f xmlns="3a145cca-aa0d-4d3c-8ecb-ab68437e0b91">
      <Terms xmlns="http://schemas.microsoft.com/office/infopath/2007/PartnerControls"/>
    </lcf76f155ced4ddcb4097134ff3c332f>
    <TaxCatchAll xmlns="0052c1a0-a970-453a-8174-8491738088f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3F4C485-F58D-4551-B9C0-54DD2BB440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a145cca-aa0d-4d3c-8ecb-ab68437e0b91"/>
    <ds:schemaRef ds:uri="0052c1a0-a970-453a-8174-8491738088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3196322-B6B9-46DF-A263-5B0FAF8EDBCE}">
  <ds:schemaRefs>
    <ds:schemaRef ds:uri="3a145cca-aa0d-4d3c-8ecb-ab68437e0b91"/>
    <ds:schemaRef ds:uri="http://schemas.microsoft.com/office/2006/documentManagement/types"/>
    <ds:schemaRef ds:uri="http://purl.org/dc/elements/1.1/"/>
    <ds:schemaRef ds:uri="http://www.w3.org/XML/1998/namespace"/>
    <ds:schemaRef ds:uri="http://purl.org/dc/terms/"/>
    <ds:schemaRef ds:uri="0052c1a0-a970-453a-8174-8491738088f7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D9763A3F-EF1D-43BD-B06B-24EE1EB1E1B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Sheet1</vt:lpstr>
      <vt:lpstr>Sheet6</vt:lpstr>
      <vt:lpstr>Sheet3</vt:lpstr>
      <vt:lpstr>Sheet4</vt:lpstr>
      <vt:lpstr>Sheet2</vt:lpstr>
      <vt:lpstr>Sheet1!Print_Area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Irvin Mariemuthoo</dc:creator>
  <cp:keywords/>
  <dc:description/>
  <cp:lastModifiedBy>🇿🇦 | Malan O’Linsky | Director of Finance</cp:lastModifiedBy>
  <cp:revision/>
  <dcterms:created xsi:type="dcterms:W3CDTF">2017-11-30T06:02:40Z</dcterms:created>
  <dcterms:modified xsi:type="dcterms:W3CDTF">2026-07-09T06:32:42Z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0x0101004AF37DC841E2904EA0BABF2803174825</vt:lpwstr>
  </property>
  <property fmtid="{D5CDD505-2E9C-101B-9397-08002B2CF9AE}" pid="3" name="ComplianceAssetId">
    <vt:lpwstr/>
  </property>
  <property fmtid="{D5CDD505-2E9C-101B-9397-08002B2CF9AE}" pid="4" name="_ExtendedDescription">
    <vt:lpwstr/>
  </property>
  <property fmtid="{D5CDD505-2E9C-101B-9397-08002B2CF9AE}" pid="5" name="MediaServiceImageTags">
    <vt:lpwstr/>
  </property>
</Properties>
</file>